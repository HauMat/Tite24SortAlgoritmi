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pinnot\Alkoritmi\Tite24SortAlgoritmi\"/>
    </mc:Choice>
  </mc:AlternateContent>
  <xr:revisionPtr revIDLastSave="0" documentId="13_ncr:1_{7F987800-2229-4AE7-A28F-C7DA85947A10}" xr6:coauthVersionLast="47" xr6:coauthVersionMax="47" xr10:uidLastSave="{00000000-0000-0000-0000-000000000000}"/>
  <bookViews>
    <workbookView xWindow="-108" yWindow="-108" windowWidth="23256" windowHeight="12456" xr2:uid="{714F50BE-B6FE-4BC0-89E8-F55F86D69BC2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0" i="1" l="1"/>
  <c r="H79" i="1"/>
  <c r="H78" i="1"/>
  <c r="H77" i="1"/>
  <c r="H76" i="1"/>
  <c r="H72" i="1"/>
  <c r="H71" i="1"/>
  <c r="H70" i="1"/>
  <c r="H69" i="1"/>
  <c r="H68" i="1"/>
  <c r="D77" i="1"/>
  <c r="D76" i="1"/>
  <c r="D80" i="1"/>
  <c r="D79" i="1"/>
  <c r="D78" i="1"/>
  <c r="D72" i="1"/>
  <c r="D71" i="1"/>
  <c r="D70" i="1"/>
  <c r="D69" i="1"/>
  <c r="D68" i="1"/>
  <c r="H64" i="1"/>
  <c r="H63" i="1"/>
  <c r="H62" i="1"/>
  <c r="H61" i="1"/>
  <c r="H60" i="1"/>
  <c r="D64" i="1"/>
  <c r="D63" i="1"/>
  <c r="D62" i="1"/>
  <c r="D61" i="1"/>
  <c r="D60" i="1"/>
  <c r="F61" i="1"/>
  <c r="G61" i="1"/>
  <c r="F62" i="1"/>
  <c r="G62" i="1"/>
  <c r="F63" i="1"/>
  <c r="G63" i="1"/>
  <c r="F64" i="1"/>
  <c r="G64" i="1"/>
  <c r="F65" i="1"/>
  <c r="G65" i="1"/>
  <c r="F68" i="1"/>
  <c r="G68" i="1"/>
  <c r="F69" i="1"/>
  <c r="G69" i="1"/>
  <c r="F70" i="1"/>
  <c r="G70" i="1"/>
  <c r="F71" i="1"/>
  <c r="G71" i="1"/>
  <c r="F72" i="1"/>
  <c r="G72" i="1"/>
  <c r="F73" i="1"/>
  <c r="G73" i="1"/>
  <c r="F76" i="1"/>
  <c r="G76" i="1"/>
  <c r="F77" i="1"/>
  <c r="G77" i="1"/>
  <c r="F78" i="1"/>
  <c r="G78" i="1"/>
  <c r="F79" i="1"/>
  <c r="G79" i="1"/>
  <c r="F80" i="1"/>
  <c r="G80" i="1"/>
  <c r="F81" i="1"/>
  <c r="G81" i="1"/>
  <c r="G60" i="1"/>
  <c r="F60" i="1"/>
  <c r="B63" i="1"/>
  <c r="C63" i="1"/>
  <c r="B64" i="1"/>
  <c r="C64" i="1"/>
  <c r="B69" i="1"/>
  <c r="C69" i="1"/>
  <c r="B73" i="1"/>
  <c r="C73" i="1"/>
  <c r="H49" i="1"/>
  <c r="G49" i="1"/>
  <c r="H50" i="1"/>
  <c r="H34" i="1"/>
  <c r="G34" i="1"/>
  <c r="G35" i="1"/>
  <c r="H35" i="1"/>
  <c r="G36" i="1"/>
  <c r="H36" i="1"/>
  <c r="G37" i="1"/>
  <c r="H37" i="1"/>
  <c r="G38" i="1"/>
  <c r="H38" i="1"/>
  <c r="G41" i="1"/>
  <c r="H41" i="1"/>
  <c r="G42" i="1"/>
  <c r="H42" i="1"/>
  <c r="G43" i="1"/>
  <c r="H43" i="1"/>
  <c r="G44" i="1"/>
  <c r="H44" i="1"/>
  <c r="G45" i="1"/>
  <c r="H45" i="1"/>
  <c r="G46" i="1"/>
  <c r="H46" i="1"/>
  <c r="G50" i="1"/>
  <c r="G51" i="1"/>
  <c r="H51" i="1"/>
  <c r="G52" i="1"/>
  <c r="H52" i="1"/>
  <c r="G53" i="1"/>
  <c r="H53" i="1"/>
  <c r="G54" i="1"/>
  <c r="H54" i="1"/>
  <c r="G33" i="1"/>
  <c r="H33" i="1"/>
  <c r="G6" i="1"/>
  <c r="B61" i="1" s="1"/>
  <c r="H6" i="1"/>
  <c r="C61" i="1" s="1"/>
  <c r="G7" i="1"/>
  <c r="B62" i="1" s="1"/>
  <c r="H7" i="1"/>
  <c r="C62" i="1" s="1"/>
  <c r="G8" i="1"/>
  <c r="H8" i="1"/>
  <c r="G9" i="1"/>
  <c r="H9" i="1"/>
  <c r="G10" i="1"/>
  <c r="B65" i="1" s="1"/>
  <c r="H10" i="1"/>
  <c r="C65" i="1" s="1"/>
  <c r="G13" i="1"/>
  <c r="B68" i="1" s="1"/>
  <c r="H13" i="1"/>
  <c r="C68" i="1" s="1"/>
  <c r="G14" i="1"/>
  <c r="H14" i="1"/>
  <c r="G15" i="1"/>
  <c r="B70" i="1" s="1"/>
  <c r="H15" i="1"/>
  <c r="C70" i="1" s="1"/>
  <c r="G16" i="1"/>
  <c r="B71" i="1" s="1"/>
  <c r="H16" i="1"/>
  <c r="C71" i="1" s="1"/>
  <c r="G17" i="1"/>
  <c r="B72" i="1" s="1"/>
  <c r="H17" i="1"/>
  <c r="C72" i="1" s="1"/>
  <c r="G18" i="1"/>
  <c r="H18" i="1"/>
  <c r="G21" i="1"/>
  <c r="B76" i="1" s="1"/>
  <c r="H21" i="1"/>
  <c r="C76" i="1" s="1"/>
  <c r="G22" i="1"/>
  <c r="B77" i="1" s="1"/>
  <c r="H22" i="1"/>
  <c r="C77" i="1" s="1"/>
  <c r="G23" i="1"/>
  <c r="B78" i="1" s="1"/>
  <c r="H23" i="1"/>
  <c r="C78" i="1" s="1"/>
  <c r="G24" i="1"/>
  <c r="B79" i="1" s="1"/>
  <c r="H24" i="1"/>
  <c r="C79" i="1" s="1"/>
  <c r="G25" i="1"/>
  <c r="B80" i="1" s="1"/>
  <c r="H25" i="1"/>
  <c r="C80" i="1" s="1"/>
  <c r="G26" i="1"/>
  <c r="B81" i="1" s="1"/>
  <c r="H26" i="1"/>
  <c r="C81" i="1" s="1"/>
  <c r="H5" i="1"/>
  <c r="C60" i="1" s="1"/>
  <c r="G5" i="1"/>
  <c r="B60" i="1" s="1"/>
</calcChain>
</file>

<file path=xl/sharedStrings.xml><?xml version="1.0" encoding="utf-8"?>
<sst xmlns="http://schemas.openxmlformats.org/spreadsheetml/2006/main" count="141" uniqueCount="26">
  <si>
    <t xml:space="preserve">    N arvolla 10000</t>
  </si>
  <si>
    <t xml:space="preserve">    Random taulu tulokset:</t>
  </si>
  <si>
    <t>N = 10 000</t>
  </si>
  <si>
    <t xml:space="preserve">  Eka</t>
  </si>
  <si>
    <t xml:space="preserve">    Nousevan taulun tulokset</t>
  </si>
  <si>
    <t xml:space="preserve">    Laskevan taulun tulokset</t>
  </si>
  <si>
    <t xml:space="preserve">  Toka</t>
  </si>
  <si>
    <t xml:space="preserve">  Kolmas</t>
  </si>
  <si>
    <t xml:space="preserve">  Neljäs</t>
  </si>
  <si>
    <t xml:space="preserve">  Viides</t>
  </si>
  <si>
    <t>N = 500 000</t>
  </si>
  <si>
    <t xml:space="preserve">    N arvolla 500000</t>
  </si>
  <si>
    <t xml:space="preserve">    Insertion sort time:</t>
  </si>
  <si>
    <t xml:space="preserve">    Bubble sort time:</t>
  </si>
  <si>
    <t xml:space="preserve">    Quick sort time:</t>
  </si>
  <si>
    <t xml:space="preserve">    Merge sort time:</t>
  </si>
  <si>
    <t xml:space="preserve">    Shell sort time:</t>
  </si>
  <si>
    <t xml:space="preserve">    Array sort time:</t>
  </si>
  <si>
    <t xml:space="preserve">    Shell sort time: </t>
  </si>
  <si>
    <t>Random taulu tulokset:</t>
  </si>
  <si>
    <t>Keskiarvo</t>
  </si>
  <si>
    <t>Mediaani</t>
  </si>
  <si>
    <t xml:space="preserve">    N  = </t>
  </si>
  <si>
    <t xml:space="preserve">N = </t>
  </si>
  <si>
    <t>Teoreettiset operaatio määrät</t>
  </si>
  <si>
    <t>Teoreettiset operaatiomäärät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</si>
</sst>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000000"/>
    <numFmt numFmtId="166" formatCode="0.000000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1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" fontId="0" fillId="0" borderId="0" xfId="0" applyNumberFormat="1"/>
    <xf numFmtId="0" fontId="0" fillId="0" borderId="0" xfId="0" applyFill="1" applyBorder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74984-EDA1-4E15-8B6D-716A43226C19}">
  <dimension ref="A1:K86"/>
  <sheetViews>
    <sheetView tabSelected="1" topLeftCell="A53" zoomScaleNormal="100" workbookViewId="0">
      <selection activeCell="D59" sqref="D59"/>
    </sheetView>
  </sheetViews>
  <sheetFormatPr defaultRowHeight="14.4" x14ac:dyDescent="0.3"/>
  <cols>
    <col min="1" max="3" width="22.6640625" bestFit="1" customWidth="1"/>
    <col min="4" max="4" width="25" bestFit="1" customWidth="1"/>
    <col min="5" max="6" width="22.6640625" bestFit="1" customWidth="1"/>
    <col min="7" max="7" width="12.5546875" bestFit="1" customWidth="1"/>
    <col min="8" max="8" width="24.6640625" bestFit="1" customWidth="1"/>
    <col min="9" max="10" width="25.6640625" bestFit="1" customWidth="1"/>
  </cols>
  <sheetData>
    <row r="1" spans="1:8" x14ac:dyDescent="0.3">
      <c r="A1" t="s">
        <v>2</v>
      </c>
    </row>
    <row r="2" spans="1:8" x14ac:dyDescent="0.3">
      <c r="A2" t="s">
        <v>3</v>
      </c>
    </row>
    <row r="3" spans="1:8" x14ac:dyDescent="0.3">
      <c r="A3" t="s">
        <v>0</v>
      </c>
      <c r="B3" t="s">
        <v>3</v>
      </c>
      <c r="C3" t="s">
        <v>6</v>
      </c>
      <c r="D3" t="s">
        <v>7</v>
      </c>
      <c r="E3" t="s">
        <v>8</v>
      </c>
      <c r="F3" t="s">
        <v>9</v>
      </c>
    </row>
    <row r="4" spans="1:8" x14ac:dyDescent="0.3">
      <c r="A4" t="s">
        <v>1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20</v>
      </c>
      <c r="H4" t="s">
        <v>21</v>
      </c>
    </row>
    <row r="5" spans="1:8" x14ac:dyDescent="0.3">
      <c r="A5" t="s">
        <v>12</v>
      </c>
      <c r="B5" s="1">
        <v>2.6883500000000001E-2</v>
      </c>
      <c r="C5" s="1">
        <v>2.3909E-2</v>
      </c>
      <c r="D5" s="1">
        <v>2.6669200000000001E-2</v>
      </c>
      <c r="E5" s="1">
        <v>2.56469E-2</v>
      </c>
      <c r="F5" s="1">
        <v>2.58468E-2</v>
      </c>
      <c r="G5" s="1">
        <f>AVERAGE(B5:F5)</f>
        <v>2.5791080000000001E-2</v>
      </c>
      <c r="H5" s="1">
        <f>MEDIAN(B5:F5)</f>
        <v>2.58468E-2</v>
      </c>
    </row>
    <row r="6" spans="1:8" x14ac:dyDescent="0.3">
      <c r="A6" t="s">
        <v>13</v>
      </c>
      <c r="B6" s="1">
        <v>3.7511799999999998E-2</v>
      </c>
      <c r="C6" s="1">
        <v>3.4095899999999998E-2</v>
      </c>
      <c r="D6" s="1">
        <v>3.5530300000000001E-2</v>
      </c>
      <c r="E6" s="1">
        <v>3.6168800000000001E-2</v>
      </c>
      <c r="F6" s="1">
        <v>3.5434E-2</v>
      </c>
      <c r="G6" s="1">
        <f t="shared" ref="G6:G26" si="0">AVERAGE(B6:F6)</f>
        <v>3.5748160000000001E-2</v>
      </c>
      <c r="H6" s="1">
        <f t="shared" ref="H6:H26" si="1">MEDIAN(B6:F6)</f>
        <v>3.5530300000000001E-2</v>
      </c>
    </row>
    <row r="7" spans="1:8" x14ac:dyDescent="0.3">
      <c r="A7" t="s">
        <v>14</v>
      </c>
      <c r="B7" s="1">
        <v>1.0663999999999999E-3</v>
      </c>
      <c r="C7" s="1">
        <v>1.1959E-3</v>
      </c>
      <c r="D7" s="1">
        <v>1.201E-3</v>
      </c>
      <c r="E7" s="1">
        <v>1.3282000000000001E-3</v>
      </c>
      <c r="F7" s="1">
        <v>1.3331E-3</v>
      </c>
      <c r="G7" s="1">
        <f t="shared" si="0"/>
        <v>1.22492E-3</v>
      </c>
      <c r="H7" s="1">
        <f t="shared" si="1"/>
        <v>1.201E-3</v>
      </c>
    </row>
    <row r="8" spans="1:8" x14ac:dyDescent="0.3">
      <c r="A8" t="s">
        <v>15</v>
      </c>
      <c r="B8" s="1">
        <v>1.6073000000000001E-3</v>
      </c>
      <c r="C8" s="1">
        <v>1.6807E-3</v>
      </c>
      <c r="D8" s="1">
        <v>1.5950000000000001E-3</v>
      </c>
      <c r="E8" s="1">
        <v>2.0092999999999999E-3</v>
      </c>
      <c r="F8" s="1">
        <v>1.6122E-3</v>
      </c>
      <c r="G8" s="1">
        <f t="shared" si="0"/>
        <v>1.7009E-3</v>
      </c>
      <c r="H8" s="1">
        <f t="shared" si="1"/>
        <v>1.6122E-3</v>
      </c>
    </row>
    <row r="9" spans="1:8" x14ac:dyDescent="0.3">
      <c r="A9" t="s">
        <v>16</v>
      </c>
      <c r="B9" s="1">
        <v>3.2702999999999999E-3</v>
      </c>
      <c r="C9" s="1">
        <v>3.0671000000000001E-3</v>
      </c>
      <c r="D9" s="1">
        <v>3.2168000000000001E-3</v>
      </c>
      <c r="E9" s="1">
        <v>3.117E-3</v>
      </c>
      <c r="F9" s="1">
        <v>3.4334000000000001E-3</v>
      </c>
      <c r="G9" s="1">
        <f t="shared" si="0"/>
        <v>3.2209199999999999E-3</v>
      </c>
      <c r="H9" s="1">
        <f t="shared" si="1"/>
        <v>3.2168000000000001E-3</v>
      </c>
    </row>
    <row r="10" spans="1:8" x14ac:dyDescent="0.3">
      <c r="A10" t="s">
        <v>17</v>
      </c>
      <c r="B10" s="1">
        <v>3.2188E-3</v>
      </c>
      <c r="C10" s="1">
        <v>3.2840999999999999E-3</v>
      </c>
      <c r="D10" s="1">
        <v>3.0958000000000001E-3</v>
      </c>
      <c r="E10" s="1">
        <v>3.3086000000000001E-3</v>
      </c>
      <c r="F10" s="1">
        <v>3.2724999999999998E-3</v>
      </c>
      <c r="G10" s="1">
        <f t="shared" si="0"/>
        <v>3.2359600000000004E-3</v>
      </c>
      <c r="H10" s="1">
        <f t="shared" si="1"/>
        <v>3.2724999999999998E-3</v>
      </c>
    </row>
    <row r="11" spans="1:8" x14ac:dyDescent="0.3">
      <c r="G11" s="3"/>
      <c r="H11" s="3"/>
    </row>
    <row r="12" spans="1:8" x14ac:dyDescent="0.3">
      <c r="A12" t="s">
        <v>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  <c r="G12" s="3"/>
      <c r="H12" s="3"/>
    </row>
    <row r="13" spans="1:8" x14ac:dyDescent="0.3">
      <c r="A13" t="s">
        <v>12</v>
      </c>
      <c r="B13" s="2">
        <v>4.0299999999999997E-5</v>
      </c>
      <c r="C13" s="2">
        <v>3.9700000000000003E-5</v>
      </c>
      <c r="D13" s="2">
        <v>4.35E-5</v>
      </c>
      <c r="E13" s="2">
        <v>4.0299999999999997E-5</v>
      </c>
      <c r="F13" s="2">
        <v>4.0500000000000002E-5</v>
      </c>
      <c r="G13" s="2">
        <f t="shared" si="0"/>
        <v>4.0859999999999998E-5</v>
      </c>
      <c r="H13" s="2">
        <f t="shared" si="1"/>
        <v>4.0299999999999997E-5</v>
      </c>
    </row>
    <row r="14" spans="1:8" x14ac:dyDescent="0.3">
      <c r="A14" t="s">
        <v>13</v>
      </c>
      <c r="B14" s="1">
        <v>7.2000000000000002E-5</v>
      </c>
      <c r="C14" s="1">
        <v>7.5199999999999998E-5</v>
      </c>
      <c r="D14" s="1">
        <v>7.1199999999999996E-5</v>
      </c>
      <c r="E14" s="1">
        <v>7.1500000000000003E-5</v>
      </c>
      <c r="F14" s="1">
        <v>7.1699999999999995E-5</v>
      </c>
      <c r="G14" s="1">
        <f t="shared" si="0"/>
        <v>7.2319999999999999E-5</v>
      </c>
      <c r="H14" s="1">
        <f t="shared" si="1"/>
        <v>7.1699999999999995E-5</v>
      </c>
    </row>
    <row r="15" spans="1:8" x14ac:dyDescent="0.3">
      <c r="A15" t="s">
        <v>14</v>
      </c>
      <c r="B15" s="1">
        <v>9.2299999999999994E-5</v>
      </c>
      <c r="C15" s="1">
        <v>1.193E-4</v>
      </c>
      <c r="D15" s="1">
        <v>9.3200000000000002E-5</v>
      </c>
      <c r="E15" s="1">
        <v>9.3599999999999998E-5</v>
      </c>
      <c r="F15" s="1">
        <v>9.5400000000000001E-5</v>
      </c>
      <c r="G15" s="1">
        <f t="shared" si="0"/>
        <v>9.8759999999999996E-5</v>
      </c>
      <c r="H15" s="1">
        <f t="shared" si="1"/>
        <v>9.3599999999999998E-5</v>
      </c>
    </row>
    <row r="16" spans="1:8" x14ac:dyDescent="0.3">
      <c r="A16" t="s">
        <v>15</v>
      </c>
      <c r="B16" s="1">
        <v>8.497E-4</v>
      </c>
      <c r="C16" s="1">
        <v>8.3600000000000005E-4</v>
      </c>
      <c r="D16" s="1">
        <v>8.5119999999999998E-4</v>
      </c>
      <c r="E16" s="1">
        <v>8.4060000000000005E-4</v>
      </c>
      <c r="F16" s="1">
        <v>8.298E-4</v>
      </c>
      <c r="G16" s="1">
        <f t="shared" si="0"/>
        <v>8.4145999999999993E-4</v>
      </c>
      <c r="H16" s="1">
        <f t="shared" si="1"/>
        <v>8.4060000000000005E-4</v>
      </c>
    </row>
    <row r="17" spans="1:8" x14ac:dyDescent="0.3">
      <c r="A17" t="s">
        <v>18</v>
      </c>
      <c r="B17" s="1">
        <v>4.481E-4</v>
      </c>
      <c r="C17" s="1">
        <v>1.6440000000000001E-4</v>
      </c>
      <c r="D17" s="1">
        <v>4.5160000000000003E-4</v>
      </c>
      <c r="E17" s="1">
        <v>4.3899999999999999E-4</v>
      </c>
      <c r="F17" s="1">
        <v>4.4210000000000001E-4</v>
      </c>
      <c r="G17" s="1">
        <f t="shared" si="0"/>
        <v>3.8904E-4</v>
      </c>
      <c r="H17" s="1">
        <f t="shared" si="1"/>
        <v>4.4210000000000001E-4</v>
      </c>
    </row>
    <row r="18" spans="1:8" x14ac:dyDescent="0.3">
      <c r="A18" t="s">
        <v>17</v>
      </c>
      <c r="B18" s="1">
        <v>1.66E-4</v>
      </c>
      <c r="C18" s="1">
        <v>1.629E-4</v>
      </c>
      <c r="D18" s="1">
        <v>1.5970000000000001E-4</v>
      </c>
      <c r="E18" s="1">
        <v>1.6239999999999999E-4</v>
      </c>
      <c r="F18" s="1">
        <v>1.6110000000000001E-4</v>
      </c>
      <c r="G18" s="1">
        <f t="shared" si="0"/>
        <v>1.6242000000000001E-4</v>
      </c>
      <c r="H18" s="1">
        <f t="shared" si="1"/>
        <v>1.6239999999999999E-4</v>
      </c>
    </row>
    <row r="19" spans="1:8" x14ac:dyDescent="0.3">
      <c r="B19" s="1"/>
      <c r="C19" s="1"/>
      <c r="D19" s="1"/>
      <c r="E19" s="1"/>
      <c r="F19" s="1"/>
      <c r="G19" s="1"/>
      <c r="H19" s="1"/>
    </row>
    <row r="20" spans="1:8" x14ac:dyDescent="0.3">
      <c r="A20" t="s">
        <v>5</v>
      </c>
      <c r="B20" s="1" t="s">
        <v>5</v>
      </c>
      <c r="C20" s="1" t="s">
        <v>5</v>
      </c>
      <c r="D20" s="1" t="s">
        <v>5</v>
      </c>
      <c r="E20" s="1" t="s">
        <v>5</v>
      </c>
      <c r="F20" s="1" t="s">
        <v>5</v>
      </c>
      <c r="G20" s="1"/>
      <c r="H20" s="1"/>
    </row>
    <row r="21" spans="1:8" x14ac:dyDescent="0.3">
      <c r="A21" t="s">
        <v>12</v>
      </c>
      <c r="B21" s="1">
        <v>5.1866900000000001E-2</v>
      </c>
      <c r="C21" s="1">
        <v>5.3561299999999999E-2</v>
      </c>
      <c r="D21" s="1">
        <v>5.2949900000000001E-2</v>
      </c>
      <c r="E21" s="1">
        <v>5.0712199999999999E-2</v>
      </c>
      <c r="F21" s="1">
        <v>5.1513099999999999E-2</v>
      </c>
      <c r="G21" s="1">
        <f t="shared" si="0"/>
        <v>5.2120679999999996E-2</v>
      </c>
      <c r="H21" s="1">
        <f t="shared" si="1"/>
        <v>5.1866900000000001E-2</v>
      </c>
    </row>
    <row r="22" spans="1:8" x14ac:dyDescent="0.3">
      <c r="A22" t="s">
        <v>13</v>
      </c>
      <c r="B22" s="1">
        <v>1.8363000000000001E-2</v>
      </c>
      <c r="C22" s="1">
        <v>1.81348E-2</v>
      </c>
      <c r="D22" s="1">
        <v>1.7424100000000001E-2</v>
      </c>
      <c r="E22" s="1">
        <v>1.6903600000000001E-2</v>
      </c>
      <c r="F22" s="1">
        <v>1.7425099999999999E-2</v>
      </c>
      <c r="G22" s="1">
        <f t="shared" si="0"/>
        <v>1.7650119999999998E-2</v>
      </c>
      <c r="H22" s="1">
        <f t="shared" si="1"/>
        <v>1.7425099999999999E-2</v>
      </c>
    </row>
    <row r="23" spans="1:8" x14ac:dyDescent="0.3">
      <c r="A23" t="s">
        <v>14</v>
      </c>
      <c r="B23" s="1">
        <v>1.033E-4</v>
      </c>
      <c r="C23" s="1">
        <v>1.2129999999999999E-4</v>
      </c>
      <c r="D23" s="1">
        <v>9.5299999999999999E-5</v>
      </c>
      <c r="E23" s="1">
        <v>9.3800000000000003E-5</v>
      </c>
      <c r="F23" s="1">
        <v>9.7499999999999998E-5</v>
      </c>
      <c r="G23" s="1">
        <f t="shared" si="0"/>
        <v>1.0224E-4</v>
      </c>
      <c r="H23" s="1">
        <f t="shared" si="1"/>
        <v>9.7499999999999998E-5</v>
      </c>
    </row>
    <row r="24" spans="1:8" x14ac:dyDescent="0.3">
      <c r="A24" t="s">
        <v>15</v>
      </c>
      <c r="B24" s="1">
        <v>3.5100000000000002E-4</v>
      </c>
      <c r="C24" s="1">
        <v>4.0030000000000003E-4</v>
      </c>
      <c r="D24" s="1">
        <v>3.5639999999999999E-4</v>
      </c>
      <c r="E24" s="1">
        <v>3.8620000000000001E-4</v>
      </c>
      <c r="F24" s="1">
        <v>3.9120000000000002E-4</v>
      </c>
      <c r="G24" s="1">
        <f t="shared" si="0"/>
        <v>3.7701999999999999E-4</v>
      </c>
      <c r="H24" s="1">
        <f t="shared" si="1"/>
        <v>3.8620000000000001E-4</v>
      </c>
    </row>
    <row r="25" spans="1:8" x14ac:dyDescent="0.3">
      <c r="A25" t="s">
        <v>18</v>
      </c>
      <c r="B25" s="1">
        <v>2.7680000000000001E-4</v>
      </c>
      <c r="C25" s="1">
        <v>1.328E-4</v>
      </c>
      <c r="D25" s="1">
        <v>4.4049999999999997E-4</v>
      </c>
      <c r="E25" s="1">
        <v>4.3639999999999998E-4</v>
      </c>
      <c r="F25" s="1">
        <v>2.4580000000000001E-4</v>
      </c>
      <c r="G25" s="1">
        <f t="shared" si="0"/>
        <v>3.0645999999999999E-4</v>
      </c>
      <c r="H25" s="1">
        <f t="shared" si="1"/>
        <v>2.7680000000000001E-4</v>
      </c>
    </row>
    <row r="26" spans="1:8" x14ac:dyDescent="0.3">
      <c r="A26" t="s">
        <v>17</v>
      </c>
      <c r="B26" s="1">
        <v>3.1139999999999998E-4</v>
      </c>
      <c r="C26" s="1">
        <v>3.1710000000000001E-4</v>
      </c>
      <c r="D26" s="1">
        <v>3.0620000000000002E-4</v>
      </c>
      <c r="E26" s="1">
        <v>3.1799999999999998E-4</v>
      </c>
      <c r="F26" s="1">
        <v>3.2299999999999999E-4</v>
      </c>
      <c r="G26" s="1">
        <f t="shared" si="0"/>
        <v>3.1513999999999994E-4</v>
      </c>
      <c r="H26" s="1">
        <f t="shared" si="1"/>
        <v>3.1710000000000001E-4</v>
      </c>
    </row>
    <row r="27" spans="1:8" x14ac:dyDescent="0.3">
      <c r="G27" s="1"/>
      <c r="H27" s="1"/>
    </row>
    <row r="28" spans="1:8" x14ac:dyDescent="0.3">
      <c r="G28" s="1"/>
      <c r="H28" s="1"/>
    </row>
    <row r="29" spans="1:8" x14ac:dyDescent="0.3">
      <c r="G29" s="1"/>
      <c r="H29" s="1"/>
    </row>
    <row r="30" spans="1:8" x14ac:dyDescent="0.3">
      <c r="A30" t="s">
        <v>10</v>
      </c>
      <c r="G30" s="1"/>
      <c r="H30" s="1"/>
    </row>
    <row r="31" spans="1:8" x14ac:dyDescent="0.3">
      <c r="A31" t="s">
        <v>11</v>
      </c>
      <c r="B31" t="s">
        <v>3</v>
      </c>
      <c r="C31" t="s">
        <v>6</v>
      </c>
      <c r="D31" t="s">
        <v>7</v>
      </c>
      <c r="E31" t="s">
        <v>8</v>
      </c>
      <c r="F31" t="s">
        <v>9</v>
      </c>
      <c r="G31" s="1"/>
      <c r="H31" s="1"/>
    </row>
    <row r="32" spans="1:8" x14ac:dyDescent="0.3">
      <c r="A32" t="s">
        <v>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20</v>
      </c>
      <c r="H32" t="s">
        <v>21</v>
      </c>
    </row>
    <row r="33" spans="1:8" x14ac:dyDescent="0.3">
      <c r="A33" t="s">
        <v>12</v>
      </c>
      <c r="B33" s="1">
        <v>46.243224699999999</v>
      </c>
      <c r="C33" s="1">
        <v>46.008373800000001</v>
      </c>
      <c r="D33" s="1">
        <v>46.195378400000003</v>
      </c>
      <c r="E33" s="1">
        <v>45.125337799999997</v>
      </c>
      <c r="F33" s="1">
        <v>45.2564621</v>
      </c>
      <c r="G33" s="1">
        <f t="shared" ref="G33:G34" si="2">AVERAGE(B33:F33)</f>
        <v>45.76575536</v>
      </c>
      <c r="H33" s="1">
        <f t="shared" ref="H33:H34" si="3">MEDIAN(B33:F33)</f>
        <v>46.008373800000001</v>
      </c>
    </row>
    <row r="34" spans="1:8" x14ac:dyDescent="0.3">
      <c r="A34" t="s">
        <v>13</v>
      </c>
      <c r="B34" s="1">
        <v>221.0515796</v>
      </c>
      <c r="C34" s="1">
        <v>220.31858360000001</v>
      </c>
      <c r="D34" s="1">
        <v>227.481202</v>
      </c>
      <c r="E34" s="1">
        <v>227.7544001</v>
      </c>
      <c r="F34" s="1">
        <v>227.93174440000001</v>
      </c>
      <c r="G34" s="1">
        <f t="shared" si="2"/>
        <v>224.90750193999997</v>
      </c>
      <c r="H34" s="1">
        <f t="shared" si="3"/>
        <v>227.481202</v>
      </c>
    </row>
    <row r="35" spans="1:8" x14ac:dyDescent="0.3">
      <c r="A35" t="s">
        <v>14</v>
      </c>
      <c r="B35" s="1">
        <v>4.7623400000000003E-2</v>
      </c>
      <c r="C35" s="1">
        <v>4.8064900000000001E-2</v>
      </c>
      <c r="D35" s="1">
        <v>4.2140999999999998E-2</v>
      </c>
      <c r="E35" s="1">
        <v>4.5824900000000002E-2</v>
      </c>
      <c r="F35" s="1">
        <v>4.3309800000000002E-2</v>
      </c>
      <c r="G35" s="1">
        <f t="shared" ref="G35:G54" si="4">AVERAGE(B35:F35)</f>
        <v>4.5392799999999997E-2</v>
      </c>
      <c r="H35" s="1">
        <f t="shared" ref="H35:H54" si="5">MEDIAN(B35:F35)</f>
        <v>4.5824900000000002E-2</v>
      </c>
    </row>
    <row r="36" spans="1:8" x14ac:dyDescent="0.3">
      <c r="A36" t="s">
        <v>15</v>
      </c>
      <c r="B36" s="1">
        <v>5.5704799999999999E-2</v>
      </c>
      <c r="C36" s="1">
        <v>6.4153399999999999E-2</v>
      </c>
      <c r="D36" s="1">
        <v>6.5870300000000007E-2</v>
      </c>
      <c r="E36" s="1">
        <v>6.4024800000000007E-2</v>
      </c>
      <c r="F36" s="1">
        <v>5.5274999999999998E-2</v>
      </c>
      <c r="G36" s="1">
        <f t="shared" si="4"/>
        <v>6.1005660000000003E-2</v>
      </c>
      <c r="H36" s="1">
        <f t="shared" si="5"/>
        <v>6.4024800000000007E-2</v>
      </c>
    </row>
    <row r="37" spans="1:8" x14ac:dyDescent="0.3">
      <c r="A37" t="s">
        <v>18</v>
      </c>
      <c r="B37" s="1">
        <v>6.23475E-2</v>
      </c>
      <c r="C37" s="1">
        <v>6.2518900000000002E-2</v>
      </c>
      <c r="D37" s="1">
        <v>6.2909900000000005E-2</v>
      </c>
      <c r="E37" s="1">
        <v>6.2439799999999997E-2</v>
      </c>
      <c r="F37" s="1">
        <v>6.0873099999999999E-2</v>
      </c>
      <c r="G37" s="1">
        <f t="shared" si="4"/>
        <v>6.2217840000000003E-2</v>
      </c>
      <c r="H37" s="1">
        <f t="shared" si="5"/>
        <v>6.2439799999999997E-2</v>
      </c>
    </row>
    <row r="38" spans="1:8" x14ac:dyDescent="0.3">
      <c r="A38" t="s">
        <v>17</v>
      </c>
      <c r="B38" s="1">
        <v>9.7756899999999994E-2</v>
      </c>
      <c r="C38" s="1">
        <v>0.13839679999999999</v>
      </c>
      <c r="D38" s="1">
        <v>0.12502070000000001</v>
      </c>
      <c r="E38" s="1">
        <v>0.14139499999999999</v>
      </c>
      <c r="F38" s="1">
        <v>0.11366709999999999</v>
      </c>
      <c r="G38" s="1">
        <f t="shared" si="4"/>
        <v>0.12324730000000002</v>
      </c>
      <c r="H38" s="1">
        <f t="shared" si="5"/>
        <v>0.12502070000000001</v>
      </c>
    </row>
    <row r="39" spans="1:8" x14ac:dyDescent="0.3">
      <c r="G39" s="1"/>
      <c r="H39" s="1"/>
    </row>
    <row r="40" spans="1:8" x14ac:dyDescent="0.3">
      <c r="A40" t="s">
        <v>4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s="1"/>
      <c r="H40" s="1"/>
    </row>
    <row r="41" spans="1:8" x14ac:dyDescent="0.3">
      <c r="A41" t="s">
        <v>12</v>
      </c>
      <c r="B41">
        <v>1.9484000000000001E-3</v>
      </c>
      <c r="C41">
        <v>3.0761E-3</v>
      </c>
      <c r="D41">
        <v>1.8659E-3</v>
      </c>
      <c r="E41">
        <v>1.9220000000000001E-3</v>
      </c>
      <c r="F41">
        <v>4.3993000000000001E-3</v>
      </c>
      <c r="G41" s="1">
        <f t="shared" si="4"/>
        <v>2.6423400000000004E-3</v>
      </c>
      <c r="H41" s="1">
        <f t="shared" si="5"/>
        <v>1.9484000000000001E-3</v>
      </c>
    </row>
    <row r="42" spans="1:8" x14ac:dyDescent="0.3">
      <c r="A42" t="s">
        <v>13</v>
      </c>
      <c r="B42" s="4">
        <v>3.7159999999999998E-4</v>
      </c>
      <c r="C42" s="4">
        <v>4.2569999999999999E-4</v>
      </c>
      <c r="D42" s="4">
        <v>5.0140000000000004E-4</v>
      </c>
      <c r="E42" s="4">
        <v>2.608E-4</v>
      </c>
      <c r="F42" s="4">
        <v>2.5970000000000002E-4</v>
      </c>
      <c r="G42" s="1">
        <f t="shared" si="4"/>
        <v>3.6383999999999999E-4</v>
      </c>
      <c r="H42" s="1">
        <f t="shared" si="5"/>
        <v>3.7159999999999998E-4</v>
      </c>
    </row>
    <row r="43" spans="1:8" x14ac:dyDescent="0.3">
      <c r="A43" t="s">
        <v>14</v>
      </c>
      <c r="B43">
        <v>8.9297000000000005E-3</v>
      </c>
      <c r="C43">
        <v>5.6084000000000004E-3</v>
      </c>
      <c r="D43">
        <v>6.4276999999999997E-3</v>
      </c>
      <c r="E43">
        <v>9.3164000000000007E-3</v>
      </c>
      <c r="F43">
        <v>9.3522999999999992E-3</v>
      </c>
      <c r="G43" s="1">
        <f t="shared" si="4"/>
        <v>7.9269000000000006E-3</v>
      </c>
      <c r="H43" s="1">
        <f t="shared" si="5"/>
        <v>8.9297000000000005E-3</v>
      </c>
    </row>
    <row r="44" spans="1:8" x14ac:dyDescent="0.3">
      <c r="A44" t="s">
        <v>15</v>
      </c>
      <c r="B44">
        <v>1.9054999999999999E-2</v>
      </c>
      <c r="C44">
        <v>2.1233399999999999E-2</v>
      </c>
      <c r="D44">
        <v>1.94153E-2</v>
      </c>
      <c r="E44">
        <v>2.0963200000000001E-2</v>
      </c>
      <c r="F44">
        <v>1.95414E-2</v>
      </c>
      <c r="G44" s="1">
        <f t="shared" si="4"/>
        <v>2.0041659999999999E-2</v>
      </c>
      <c r="H44" s="1">
        <f t="shared" si="5"/>
        <v>1.95414E-2</v>
      </c>
    </row>
    <row r="45" spans="1:8" x14ac:dyDescent="0.3">
      <c r="A45" t="s">
        <v>18</v>
      </c>
      <c r="B45">
        <v>1.0668199999999999E-2</v>
      </c>
      <c r="C45">
        <v>1.01929E-2</v>
      </c>
      <c r="D45">
        <v>1.1861399999999999E-2</v>
      </c>
      <c r="E45">
        <v>9.9825000000000001E-3</v>
      </c>
      <c r="F45">
        <v>1.1135600000000001E-2</v>
      </c>
      <c r="G45" s="1">
        <f t="shared" si="4"/>
        <v>1.0768120000000001E-2</v>
      </c>
      <c r="H45" s="1">
        <f t="shared" si="5"/>
        <v>1.0668199999999999E-2</v>
      </c>
    </row>
    <row r="46" spans="1:8" x14ac:dyDescent="0.3">
      <c r="A46" t="s">
        <v>17</v>
      </c>
      <c r="B46">
        <v>2.6591000000000002E-3</v>
      </c>
      <c r="C46">
        <v>3.2664999999999999E-3</v>
      </c>
      <c r="D46">
        <v>3.2813999999999999E-3</v>
      </c>
      <c r="E46">
        <v>2.9558000000000002E-3</v>
      </c>
      <c r="F46">
        <v>3.6227E-3</v>
      </c>
      <c r="G46" s="1">
        <f t="shared" si="4"/>
        <v>3.1571000000000004E-3</v>
      </c>
      <c r="H46" s="1">
        <f t="shared" si="5"/>
        <v>3.2664999999999999E-3</v>
      </c>
    </row>
    <row r="47" spans="1:8" x14ac:dyDescent="0.3">
      <c r="G47" s="1"/>
      <c r="H47" s="1"/>
    </row>
    <row r="48" spans="1:8" x14ac:dyDescent="0.3">
      <c r="A48" t="s">
        <v>5</v>
      </c>
      <c r="B48" t="s">
        <v>5</v>
      </c>
      <c r="C48" t="s">
        <v>5</v>
      </c>
      <c r="D48" t="s">
        <v>5</v>
      </c>
      <c r="E48" t="s">
        <v>5</v>
      </c>
      <c r="F48" t="s">
        <v>5</v>
      </c>
      <c r="G48" s="1"/>
      <c r="H48" s="1"/>
    </row>
    <row r="49" spans="1:11" x14ac:dyDescent="0.3">
      <c r="A49" t="s">
        <v>12</v>
      </c>
      <c r="B49" s="1">
        <v>98.854750100000004</v>
      </c>
      <c r="C49" s="1">
        <v>98.538589200000004</v>
      </c>
      <c r="D49" s="1">
        <v>104.4524594</v>
      </c>
      <c r="E49" s="1">
        <v>107.9068881</v>
      </c>
      <c r="F49" s="1">
        <v>106.6881805</v>
      </c>
      <c r="G49" s="1">
        <f t="shared" ref="G49" si="6">AVERAGE(B49:F49)</f>
        <v>103.28817346000001</v>
      </c>
      <c r="H49" s="1">
        <f>MEDIAN(B49:F49)</f>
        <v>104.4524594</v>
      </c>
    </row>
    <row r="50" spans="1:11" x14ac:dyDescent="0.3">
      <c r="A50" t="s">
        <v>13</v>
      </c>
      <c r="B50" s="1">
        <v>42.488188399999999</v>
      </c>
      <c r="C50" s="1">
        <v>42.608826299999997</v>
      </c>
      <c r="D50" s="1">
        <v>42.4411494</v>
      </c>
      <c r="E50" s="1">
        <v>42.567718999999997</v>
      </c>
      <c r="F50" s="1">
        <v>42.472575800000001</v>
      </c>
      <c r="G50" s="1">
        <f t="shared" si="4"/>
        <v>42.515691779999997</v>
      </c>
      <c r="H50" s="1">
        <f>MEDIAN(B50:F50)</f>
        <v>42.488188399999999</v>
      </c>
    </row>
    <row r="51" spans="1:11" x14ac:dyDescent="0.3">
      <c r="A51" t="s">
        <v>14</v>
      </c>
      <c r="B51" s="1">
        <v>5.5066000000000004E-3</v>
      </c>
      <c r="C51" s="1">
        <v>5.7616999999999998E-3</v>
      </c>
      <c r="D51" s="1">
        <v>6.8123000000000003E-3</v>
      </c>
      <c r="E51" s="1">
        <v>5.5862000000000004E-3</v>
      </c>
      <c r="F51" s="1">
        <v>6.7191999999999998E-3</v>
      </c>
      <c r="G51" s="1">
        <f t="shared" si="4"/>
        <v>6.0772000000000005E-3</v>
      </c>
      <c r="H51" s="1">
        <f t="shared" si="5"/>
        <v>5.7616999999999998E-3</v>
      </c>
    </row>
    <row r="52" spans="1:11" x14ac:dyDescent="0.3">
      <c r="A52" t="s">
        <v>15</v>
      </c>
      <c r="B52" s="1">
        <v>2.30467E-2</v>
      </c>
      <c r="C52" s="1">
        <v>2.35274E-2</v>
      </c>
      <c r="D52" s="1">
        <v>2.3173800000000001E-2</v>
      </c>
      <c r="E52" s="1">
        <v>3.1908899999999997E-2</v>
      </c>
      <c r="F52" s="1">
        <v>2.6482499999999999E-2</v>
      </c>
      <c r="G52" s="1">
        <f t="shared" si="4"/>
        <v>2.5627859999999995E-2</v>
      </c>
      <c r="H52" s="1">
        <f t="shared" si="5"/>
        <v>2.35274E-2</v>
      </c>
    </row>
    <row r="53" spans="1:11" x14ac:dyDescent="0.3">
      <c r="A53" t="s">
        <v>18</v>
      </c>
      <c r="B53" s="1">
        <v>1.0551400000000001E-2</v>
      </c>
      <c r="C53" s="1">
        <v>1.17378E-2</v>
      </c>
      <c r="D53" s="1">
        <v>1.5262700000000001E-2</v>
      </c>
      <c r="E53" s="1">
        <v>1.3815600000000001E-2</v>
      </c>
      <c r="F53" s="1">
        <v>1.05602E-2</v>
      </c>
      <c r="G53" s="1">
        <f t="shared" si="4"/>
        <v>1.2385539999999999E-2</v>
      </c>
      <c r="H53" s="1">
        <f t="shared" si="5"/>
        <v>1.17378E-2</v>
      </c>
    </row>
    <row r="54" spans="1:11" x14ac:dyDescent="0.3">
      <c r="A54" t="s">
        <v>17</v>
      </c>
      <c r="B54" s="1">
        <v>2.4001000000000001E-3</v>
      </c>
      <c r="C54" s="1">
        <v>2.6442000000000002E-3</v>
      </c>
      <c r="D54" s="1">
        <v>2.6930000000000001E-3</v>
      </c>
      <c r="E54" s="1">
        <v>1.6025E-3</v>
      </c>
      <c r="F54" s="1">
        <v>2.2089000000000002E-3</v>
      </c>
      <c r="G54" s="1">
        <f t="shared" si="4"/>
        <v>2.3097400000000002E-3</v>
      </c>
      <c r="H54" s="1">
        <f t="shared" si="5"/>
        <v>2.4001000000000001E-3</v>
      </c>
    </row>
    <row r="58" spans="1:11" x14ac:dyDescent="0.3">
      <c r="A58" s="8" t="s">
        <v>22</v>
      </c>
      <c r="B58" s="7">
        <v>10000</v>
      </c>
      <c r="E58" s="8" t="s">
        <v>23</v>
      </c>
      <c r="F58" s="7">
        <v>500000</v>
      </c>
      <c r="J58" s="1"/>
      <c r="K58" s="1"/>
    </row>
    <row r="59" spans="1:11" x14ac:dyDescent="0.3">
      <c r="A59" s="5" t="s">
        <v>1</v>
      </c>
      <c r="B59" s="5" t="s">
        <v>20</v>
      </c>
      <c r="C59" s="5" t="s">
        <v>21</v>
      </c>
      <c r="D59" s="10" t="s">
        <v>24</v>
      </c>
      <c r="E59" s="5" t="s">
        <v>1</v>
      </c>
      <c r="F59" s="5" t="s">
        <v>20</v>
      </c>
      <c r="G59" s="5" t="s">
        <v>21</v>
      </c>
      <c r="H59" s="10" t="s">
        <v>25</v>
      </c>
      <c r="J59" s="1"/>
      <c r="K59" s="1"/>
    </row>
    <row r="60" spans="1:11" x14ac:dyDescent="0.3">
      <c r="A60" t="s">
        <v>12</v>
      </c>
      <c r="B60" s="1">
        <f t="shared" ref="B60:C65" si="7">G5</f>
        <v>2.5791080000000001E-2</v>
      </c>
      <c r="C60" s="1">
        <f t="shared" si="7"/>
        <v>2.58468E-2</v>
      </c>
      <c r="D60">
        <f>B58^2</f>
        <v>100000000</v>
      </c>
      <c r="E60" t="s">
        <v>12</v>
      </c>
      <c r="F60" s="1">
        <f t="shared" ref="F60:G65" si="8">G33</f>
        <v>45.76575536</v>
      </c>
      <c r="G60" s="1">
        <f t="shared" si="8"/>
        <v>46.008373800000001</v>
      </c>
      <c r="H60" s="9">
        <f>F58^2</f>
        <v>250000000000</v>
      </c>
    </row>
    <row r="61" spans="1:11" x14ac:dyDescent="0.3">
      <c r="A61" t="s">
        <v>13</v>
      </c>
      <c r="B61" s="1">
        <f t="shared" si="7"/>
        <v>3.5748160000000001E-2</v>
      </c>
      <c r="C61" s="1">
        <f t="shared" si="7"/>
        <v>3.5530300000000001E-2</v>
      </c>
      <c r="D61">
        <f>B58^2</f>
        <v>100000000</v>
      </c>
      <c r="E61" t="s">
        <v>13</v>
      </c>
      <c r="F61" s="1">
        <f t="shared" si="8"/>
        <v>224.90750193999997</v>
      </c>
      <c r="G61" s="1">
        <f t="shared" si="8"/>
        <v>227.481202</v>
      </c>
      <c r="H61" s="9">
        <f>F58^2</f>
        <v>250000000000</v>
      </c>
      <c r="I61" s="1"/>
    </row>
    <row r="62" spans="1:11" x14ac:dyDescent="0.3">
      <c r="A62" t="s">
        <v>14</v>
      </c>
      <c r="B62" s="1">
        <f t="shared" si="7"/>
        <v>1.22492E-3</v>
      </c>
      <c r="C62" s="1">
        <f t="shared" si="7"/>
        <v>1.201E-3</v>
      </c>
      <c r="D62">
        <f>B58*LOG(B58)</f>
        <v>40000</v>
      </c>
      <c r="E62" t="s">
        <v>14</v>
      </c>
      <c r="F62" s="1">
        <f t="shared" si="8"/>
        <v>4.5392799999999997E-2</v>
      </c>
      <c r="G62" s="1">
        <f t="shared" si="8"/>
        <v>4.5824900000000002E-2</v>
      </c>
      <c r="H62" s="9">
        <f>F58*LOG(F58)</f>
        <v>2849485.0021680095</v>
      </c>
      <c r="I62" s="1"/>
    </row>
    <row r="63" spans="1:11" x14ac:dyDescent="0.3">
      <c r="A63" t="s">
        <v>15</v>
      </c>
      <c r="B63" s="1">
        <f t="shared" si="7"/>
        <v>1.7009E-3</v>
      </c>
      <c r="C63" s="1">
        <f t="shared" si="7"/>
        <v>1.6122E-3</v>
      </c>
      <c r="D63">
        <f>B58*LOG(B58)</f>
        <v>40000</v>
      </c>
      <c r="E63" t="s">
        <v>15</v>
      </c>
      <c r="F63" s="1">
        <f t="shared" si="8"/>
        <v>6.1005660000000003E-2</v>
      </c>
      <c r="G63" s="1">
        <f t="shared" si="8"/>
        <v>6.4024800000000007E-2</v>
      </c>
      <c r="H63" s="9">
        <f>F58*LOG(F58)</f>
        <v>2849485.0021680095</v>
      </c>
      <c r="I63" s="1"/>
    </row>
    <row r="64" spans="1:11" x14ac:dyDescent="0.3">
      <c r="A64" t="s">
        <v>16</v>
      </c>
      <c r="B64" s="1">
        <f t="shared" si="7"/>
        <v>3.2209199999999999E-3</v>
      </c>
      <c r="C64" s="1">
        <f t="shared" si="7"/>
        <v>3.2168000000000001E-3</v>
      </c>
      <c r="D64">
        <f>B58*(LOG(B58)^2)</f>
        <v>160000</v>
      </c>
      <c r="E64" t="s">
        <v>18</v>
      </c>
      <c r="F64" s="1">
        <f t="shared" si="8"/>
        <v>6.2217840000000003E-2</v>
      </c>
      <c r="G64" s="1">
        <f t="shared" si="8"/>
        <v>6.2439799999999997E-2</v>
      </c>
      <c r="H64" s="9">
        <f>F58*(LOG(F58)^2)</f>
        <v>16239129.555160841</v>
      </c>
      <c r="I64" s="1"/>
    </row>
    <row r="65" spans="1:9" x14ac:dyDescent="0.3">
      <c r="A65" t="s">
        <v>17</v>
      </c>
      <c r="B65" s="1">
        <f t="shared" si="7"/>
        <v>3.2359600000000004E-3</v>
      </c>
      <c r="C65" s="1">
        <f t="shared" si="7"/>
        <v>3.2724999999999998E-3</v>
      </c>
      <c r="E65" t="s">
        <v>17</v>
      </c>
      <c r="F65" s="1">
        <f t="shared" si="8"/>
        <v>0.12324730000000002</v>
      </c>
      <c r="G65" s="1">
        <f t="shared" si="8"/>
        <v>0.12502070000000001</v>
      </c>
      <c r="H65" s="9"/>
      <c r="I65" s="1"/>
    </row>
    <row r="66" spans="1:9" x14ac:dyDescent="0.3">
      <c r="B66" s="1"/>
      <c r="C66" s="1"/>
      <c r="F66" s="1"/>
      <c r="G66" s="1"/>
      <c r="H66" s="1"/>
      <c r="I66" s="1"/>
    </row>
    <row r="67" spans="1:9" x14ac:dyDescent="0.3">
      <c r="A67" s="5" t="s">
        <v>4</v>
      </c>
      <c r="B67" s="6"/>
      <c r="C67" s="6"/>
      <c r="E67" s="5" t="s">
        <v>4</v>
      </c>
      <c r="F67" s="6"/>
      <c r="G67" s="6"/>
    </row>
    <row r="68" spans="1:9" x14ac:dyDescent="0.3">
      <c r="A68" t="s">
        <v>12</v>
      </c>
      <c r="B68" s="1">
        <f t="shared" ref="B68:C73" si="9">G13</f>
        <v>4.0859999999999998E-5</v>
      </c>
      <c r="C68" s="1">
        <f t="shared" si="9"/>
        <v>4.0299999999999997E-5</v>
      </c>
      <c r="D68">
        <f>B58</f>
        <v>10000</v>
      </c>
      <c r="E68" t="s">
        <v>12</v>
      </c>
      <c r="F68" s="1">
        <f t="shared" ref="F68:G73" si="10">G41</f>
        <v>2.6423400000000004E-3</v>
      </c>
      <c r="G68" s="1">
        <f t="shared" si="10"/>
        <v>1.9484000000000001E-3</v>
      </c>
      <c r="H68" s="9">
        <f>F58</f>
        <v>500000</v>
      </c>
    </row>
    <row r="69" spans="1:9" x14ac:dyDescent="0.3">
      <c r="A69" t="s">
        <v>13</v>
      </c>
      <c r="B69" s="1">
        <f t="shared" si="9"/>
        <v>7.2319999999999999E-5</v>
      </c>
      <c r="C69" s="1">
        <f t="shared" si="9"/>
        <v>7.1699999999999995E-5</v>
      </c>
      <c r="D69">
        <f>B58</f>
        <v>10000</v>
      </c>
      <c r="E69" t="s">
        <v>13</v>
      </c>
      <c r="F69" s="1">
        <f t="shared" si="10"/>
        <v>3.6383999999999999E-4</v>
      </c>
      <c r="G69" s="1">
        <f t="shared" si="10"/>
        <v>3.7159999999999998E-4</v>
      </c>
      <c r="H69" s="9">
        <f>F58</f>
        <v>500000</v>
      </c>
    </row>
    <row r="70" spans="1:9" x14ac:dyDescent="0.3">
      <c r="A70" t="s">
        <v>14</v>
      </c>
      <c r="B70" s="1">
        <f t="shared" si="9"/>
        <v>9.8759999999999996E-5</v>
      </c>
      <c r="C70" s="1">
        <f t="shared" si="9"/>
        <v>9.3599999999999998E-5</v>
      </c>
      <c r="D70">
        <f>B58*LOG(B58)</f>
        <v>40000</v>
      </c>
      <c r="E70" t="s">
        <v>14</v>
      </c>
      <c r="F70" s="1">
        <f t="shared" si="10"/>
        <v>7.9269000000000006E-3</v>
      </c>
      <c r="G70" s="1">
        <f t="shared" si="10"/>
        <v>8.9297000000000005E-3</v>
      </c>
      <c r="H70" s="9">
        <f>F58*LOG(F58)</f>
        <v>2849485.0021680095</v>
      </c>
      <c r="I70" s="4"/>
    </row>
    <row r="71" spans="1:9" x14ac:dyDescent="0.3">
      <c r="A71" t="s">
        <v>15</v>
      </c>
      <c r="B71" s="1">
        <f t="shared" si="9"/>
        <v>8.4145999999999993E-4</v>
      </c>
      <c r="C71" s="1">
        <f t="shared" si="9"/>
        <v>8.4060000000000005E-4</v>
      </c>
      <c r="D71">
        <f>B58*LOG(B58)</f>
        <v>40000</v>
      </c>
      <c r="E71" t="s">
        <v>15</v>
      </c>
      <c r="F71" s="1">
        <f t="shared" si="10"/>
        <v>2.0041659999999999E-2</v>
      </c>
      <c r="G71" s="1">
        <f t="shared" si="10"/>
        <v>1.95414E-2</v>
      </c>
      <c r="H71" s="9">
        <f>F58*LOG(F58)</f>
        <v>2849485.0021680095</v>
      </c>
    </row>
    <row r="72" spans="1:9" x14ac:dyDescent="0.3">
      <c r="A72" t="s">
        <v>18</v>
      </c>
      <c r="B72" s="1">
        <f t="shared" si="9"/>
        <v>3.8904E-4</v>
      </c>
      <c r="C72" s="1">
        <f t="shared" si="9"/>
        <v>4.4210000000000001E-4</v>
      </c>
      <c r="D72">
        <f>B58*LOG(B58)</f>
        <v>40000</v>
      </c>
      <c r="E72" t="s">
        <v>18</v>
      </c>
      <c r="F72" s="1">
        <f t="shared" si="10"/>
        <v>1.0768120000000001E-2</v>
      </c>
      <c r="G72" s="1">
        <f t="shared" si="10"/>
        <v>1.0668199999999999E-2</v>
      </c>
      <c r="H72" s="9">
        <f>F58*LOG(F58)</f>
        <v>2849485.0021680095</v>
      </c>
    </row>
    <row r="73" spans="1:9" x14ac:dyDescent="0.3">
      <c r="A73" t="s">
        <v>17</v>
      </c>
      <c r="B73" s="1">
        <f t="shared" si="9"/>
        <v>1.6242000000000001E-4</v>
      </c>
      <c r="C73" s="1">
        <f t="shared" si="9"/>
        <v>1.6239999999999999E-4</v>
      </c>
      <c r="E73" t="s">
        <v>17</v>
      </c>
      <c r="F73" s="1">
        <f t="shared" si="10"/>
        <v>3.1571000000000004E-3</v>
      </c>
      <c r="G73" s="1">
        <f t="shared" si="10"/>
        <v>3.2664999999999999E-3</v>
      </c>
      <c r="H73" s="9"/>
    </row>
    <row r="74" spans="1:9" x14ac:dyDescent="0.3">
      <c r="B74" s="1"/>
      <c r="C74" s="1"/>
      <c r="F74" s="1"/>
      <c r="G74" s="1"/>
      <c r="H74" s="9"/>
    </row>
    <row r="75" spans="1:9" x14ac:dyDescent="0.3">
      <c r="A75" s="5" t="s">
        <v>5</v>
      </c>
      <c r="B75" s="6"/>
      <c r="C75" s="6"/>
      <c r="E75" s="5" t="s">
        <v>5</v>
      </c>
      <c r="F75" s="6"/>
      <c r="G75" s="6"/>
      <c r="H75" s="9"/>
    </row>
    <row r="76" spans="1:9" x14ac:dyDescent="0.3">
      <c r="A76" t="s">
        <v>12</v>
      </c>
      <c r="B76" s="1">
        <f t="shared" ref="B76:C81" si="11">G21</f>
        <v>5.2120679999999996E-2</v>
      </c>
      <c r="C76" s="1">
        <f t="shared" si="11"/>
        <v>5.1866900000000001E-2</v>
      </c>
      <c r="D76">
        <f>B58^2</f>
        <v>100000000</v>
      </c>
      <c r="E76" t="s">
        <v>12</v>
      </c>
      <c r="F76" s="1">
        <f t="shared" ref="F76:G81" si="12">G49</f>
        <v>103.28817346000001</v>
      </c>
      <c r="G76" s="1">
        <f t="shared" si="12"/>
        <v>104.4524594</v>
      </c>
      <c r="H76" s="9">
        <f>F58^2</f>
        <v>250000000000</v>
      </c>
    </row>
    <row r="77" spans="1:9" x14ac:dyDescent="0.3">
      <c r="A77" t="s">
        <v>13</v>
      </c>
      <c r="B77" s="1">
        <f t="shared" si="11"/>
        <v>1.7650119999999998E-2</v>
      </c>
      <c r="C77" s="1">
        <f t="shared" si="11"/>
        <v>1.7425099999999999E-2</v>
      </c>
      <c r="D77">
        <f>B58^2</f>
        <v>100000000</v>
      </c>
      <c r="E77" t="s">
        <v>13</v>
      </c>
      <c r="F77" s="1">
        <f t="shared" si="12"/>
        <v>42.515691779999997</v>
      </c>
      <c r="G77" s="1">
        <f t="shared" si="12"/>
        <v>42.488188399999999</v>
      </c>
      <c r="H77" s="9">
        <f>F58^2</f>
        <v>250000000000</v>
      </c>
      <c r="I77" s="1"/>
    </row>
    <row r="78" spans="1:9" x14ac:dyDescent="0.3">
      <c r="A78" t="s">
        <v>14</v>
      </c>
      <c r="B78" s="1">
        <f t="shared" si="11"/>
        <v>1.0224E-4</v>
      </c>
      <c r="C78" s="1">
        <f t="shared" si="11"/>
        <v>9.7499999999999998E-5</v>
      </c>
      <c r="D78">
        <f>B58^2</f>
        <v>100000000</v>
      </c>
      <c r="E78" t="s">
        <v>14</v>
      </c>
      <c r="F78" s="1">
        <f t="shared" si="12"/>
        <v>6.0772000000000005E-3</v>
      </c>
      <c r="G78" s="1">
        <f t="shared" si="12"/>
        <v>5.7616999999999998E-3</v>
      </c>
      <c r="H78" s="9">
        <f>F58^2</f>
        <v>250000000000</v>
      </c>
      <c r="I78" s="1"/>
    </row>
    <row r="79" spans="1:9" x14ac:dyDescent="0.3">
      <c r="A79" t="s">
        <v>15</v>
      </c>
      <c r="B79" s="1">
        <f t="shared" si="11"/>
        <v>3.7701999999999999E-4</v>
      </c>
      <c r="C79" s="1">
        <f t="shared" si="11"/>
        <v>3.8620000000000001E-4</v>
      </c>
      <c r="D79">
        <f>B58*LOG(B58)</f>
        <v>40000</v>
      </c>
      <c r="E79" t="s">
        <v>15</v>
      </c>
      <c r="F79" s="1">
        <f t="shared" si="12"/>
        <v>2.5627859999999995E-2</v>
      </c>
      <c r="G79" s="1">
        <f t="shared" si="12"/>
        <v>2.35274E-2</v>
      </c>
      <c r="H79" s="9">
        <f>F58*LOG(F58)</f>
        <v>2849485.0021680095</v>
      </c>
      <c r="I79" s="1"/>
    </row>
    <row r="80" spans="1:9" x14ac:dyDescent="0.3">
      <c r="A80" t="s">
        <v>18</v>
      </c>
      <c r="B80" s="1">
        <f t="shared" si="11"/>
        <v>3.0645999999999999E-4</v>
      </c>
      <c r="C80" s="1">
        <f t="shared" si="11"/>
        <v>2.7680000000000001E-4</v>
      </c>
      <c r="D80">
        <f>B58*(LOG(B58)^2)</f>
        <v>160000</v>
      </c>
      <c r="E80" t="s">
        <v>18</v>
      </c>
      <c r="F80" s="1">
        <f t="shared" si="12"/>
        <v>1.2385539999999999E-2</v>
      </c>
      <c r="G80" s="1">
        <f t="shared" si="12"/>
        <v>1.17378E-2</v>
      </c>
      <c r="H80" s="9">
        <f>F58*(LOG(F58)^2)</f>
        <v>16239129.555160841</v>
      </c>
      <c r="I80" s="1"/>
    </row>
    <row r="81" spans="1:9" x14ac:dyDescent="0.3">
      <c r="A81" t="s">
        <v>17</v>
      </c>
      <c r="B81" s="1">
        <f t="shared" si="11"/>
        <v>3.1513999999999994E-4</v>
      </c>
      <c r="C81" s="1">
        <f t="shared" si="11"/>
        <v>3.1710000000000001E-4</v>
      </c>
      <c r="E81" t="s">
        <v>17</v>
      </c>
      <c r="F81" s="1">
        <f t="shared" si="12"/>
        <v>2.3097400000000002E-3</v>
      </c>
      <c r="G81" s="1">
        <f t="shared" si="12"/>
        <v>2.4001000000000001E-3</v>
      </c>
      <c r="H81" s="1"/>
      <c r="I81" s="1"/>
    </row>
    <row r="82" spans="1:9" x14ac:dyDescent="0.3">
      <c r="G82" s="1"/>
      <c r="H82" s="1"/>
      <c r="I82" s="1"/>
    </row>
    <row r="83" spans="1:9" x14ac:dyDescent="0.3">
      <c r="D83" s="1"/>
    </row>
    <row r="84" spans="1:9" x14ac:dyDescent="0.3">
      <c r="D84" s="1"/>
    </row>
    <row r="85" spans="1:9" x14ac:dyDescent="0.3">
      <c r="D85" s="1"/>
      <c r="E85" s="1"/>
      <c r="F85" s="1"/>
    </row>
    <row r="86" spans="1:9" x14ac:dyDescent="0.3">
      <c r="D86" s="1"/>
      <c r="E86" s="1"/>
      <c r="F86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Hautamäki, Matti</dc:creator>
  <cp:lastModifiedBy>Hautamäki, Matti</cp:lastModifiedBy>
  <dcterms:created xsi:type="dcterms:W3CDTF">2026-01-29T19:54:45Z</dcterms:created>
  <dcterms:modified xsi:type="dcterms:W3CDTF">2026-01-30T15:10:05Z</dcterms:modified>
</cp:coreProperties>
</file>